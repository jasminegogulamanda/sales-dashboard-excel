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Jasmi\Downloads\"/>
    </mc:Choice>
  </mc:AlternateContent>
  <xr:revisionPtr revIDLastSave="0" documentId="13_ncr:1_{5D1CC490-D2DC-4C61-93CC-695F1AA58003}" xr6:coauthVersionLast="47" xr6:coauthVersionMax="47" xr10:uidLastSave="{00000000-0000-0000-0000-000000000000}"/>
  <bookViews>
    <workbookView xWindow="-108" yWindow="-108" windowWidth="23256" windowHeight="12456" firstSheet="1" activeTab="5" xr2:uid="{066F390F-3F57-424A-8F63-D79F6E363C66}"/>
  </bookViews>
  <sheets>
    <sheet name="Sheet3" sheetId="3" r:id="rId1"/>
    <sheet name="Sheet4" sheetId="4" r:id="rId2"/>
    <sheet name="Sheet5" sheetId="5" r:id="rId3"/>
    <sheet name="Sheet6" sheetId="6" r:id="rId4"/>
    <sheet name="Sheet1" sheetId="1" r:id="rId5"/>
    <sheet name="Dashboard" sheetId="10" r:id="rId6"/>
  </sheets>
  <definedNames>
    <definedName name="_xlnm.Print_Area" localSheetId="5">Dashboard!$A$1:$N$29</definedName>
    <definedName name="Slicer_Category">#N/A</definedName>
    <definedName name="Slicer_Months__Date">#N/A</definedName>
    <definedName name="Slicer_Product">#N/A</definedName>
    <definedName name="Slicer_Region">#N/A</definedName>
  </definedNames>
  <calcPr calcId="191029"/>
  <pivotCaches>
    <pivotCache cacheId="16"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 i="1" l="1"/>
  <c r="J3" i="1"/>
  <c r="J2" i="1"/>
  <c r="E4" i="10"/>
  <c r="B4" i="10"/>
  <c r="H4" i="10" l="1"/>
</calcChain>
</file>

<file path=xl/sharedStrings.xml><?xml version="1.0" encoding="utf-8"?>
<sst xmlns="http://schemas.openxmlformats.org/spreadsheetml/2006/main" count="72" uniqueCount="29">
  <si>
    <t>OrderID</t>
  </si>
  <si>
    <t>Date</t>
  </si>
  <si>
    <t>Product</t>
  </si>
  <si>
    <t>Category</t>
  </si>
  <si>
    <t>Region</t>
  </si>
  <si>
    <t>Sales</t>
  </si>
  <si>
    <t>Profit</t>
  </si>
  <si>
    <t>Laptop</t>
  </si>
  <si>
    <t>Electronics</t>
  </si>
  <si>
    <t>South</t>
  </si>
  <si>
    <t>Mobile</t>
  </si>
  <si>
    <t>North</t>
  </si>
  <si>
    <t>Chair</t>
  </si>
  <si>
    <t>Furniture</t>
  </si>
  <si>
    <t>East</t>
  </si>
  <si>
    <t>Table</t>
  </si>
  <si>
    <t>West</t>
  </si>
  <si>
    <t>DASHBOARD KPIS</t>
  </si>
  <si>
    <t>Total Sales</t>
  </si>
  <si>
    <t>Total Profit</t>
  </si>
  <si>
    <t>Profit Margin</t>
  </si>
  <si>
    <t>Row Labels</t>
  </si>
  <si>
    <t>Grand Total</t>
  </si>
  <si>
    <t>Jan</t>
  </si>
  <si>
    <t>Feb</t>
  </si>
  <si>
    <t>Mar</t>
  </si>
  <si>
    <t>Sum of Sales</t>
  </si>
  <si>
    <t>Sum of Profit</t>
  </si>
  <si>
    <t>SALES PERFORMANCE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</si>
</sst>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1"/>
      <color theme="0"/>
      <name val="Calibri"/>
      <family val="2"/>
      <scheme val="minor"/>
    </font>
    <font>
      <b/>
      <sz val="18"/>
      <color theme="1"/>
      <name val="Calibri"/>
      <family val="2"/>
      <scheme val="minor"/>
    </font>
    <font>
      <b/>
      <sz val="20"/>
      <color theme="0"/>
      <name val="Calibri"/>
      <family val="2"/>
      <scheme val="minor"/>
    </font>
    <font>
      <b/>
      <sz val="18"/>
      <color theme="0"/>
      <name val="Calibri"/>
      <family val="2"/>
      <scheme val="minor"/>
    </font>
    <font>
      <b/>
      <sz val="18"/>
      <color theme="3"/>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7"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14"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4" fillId="2" borderId="0" xfId="0" applyFont="1" applyFill="1" applyAlignment="1">
      <alignment horizontal="center"/>
    </xf>
    <xf numFmtId="0" fontId="2" fillId="2" borderId="0" xfId="0" applyFont="1" applyFill="1" applyAlignment="1">
      <alignment horizontal="center"/>
    </xf>
    <xf numFmtId="0" fontId="3" fillId="3" borderId="1" xfId="0" applyFont="1" applyFill="1" applyBorder="1" applyAlignment="1"/>
    <xf numFmtId="0" fontId="3" fillId="3" borderId="3" xfId="0" applyFont="1" applyFill="1" applyBorder="1" applyAlignment="1"/>
    <xf numFmtId="0" fontId="3" fillId="3" borderId="4" xfId="0" applyFont="1" applyFill="1" applyBorder="1" applyAlignment="1"/>
    <xf numFmtId="0" fontId="3" fillId="3" borderId="5" xfId="0" applyFont="1" applyFill="1" applyBorder="1" applyAlignment="1"/>
    <xf numFmtId="0" fontId="3" fillId="3" borderId="6" xfId="0" applyFont="1" applyFill="1" applyBorder="1" applyAlignment="1"/>
    <xf numFmtId="0" fontId="3" fillId="3" borderId="8" xfId="0" applyFont="1" applyFill="1" applyBorder="1" applyAlignment="1"/>
    <xf numFmtId="0" fontId="3" fillId="4" borderId="1" xfId="0" applyFont="1" applyFill="1" applyBorder="1" applyAlignment="1"/>
    <xf numFmtId="0" fontId="3" fillId="4" borderId="3" xfId="0" applyFont="1" applyFill="1" applyBorder="1" applyAlignment="1"/>
    <xf numFmtId="0" fontId="3" fillId="4" borderId="4" xfId="0" applyFont="1" applyFill="1" applyBorder="1" applyAlignment="1"/>
    <xf numFmtId="0" fontId="3" fillId="4" borderId="0" xfId="0" applyFont="1" applyFill="1" applyBorder="1" applyAlignment="1"/>
    <xf numFmtId="0" fontId="3" fillId="4" borderId="5" xfId="0" applyFont="1" applyFill="1" applyBorder="1" applyAlignment="1"/>
    <xf numFmtId="0" fontId="3" fillId="4" borderId="6" xfId="0" applyFont="1" applyFill="1" applyBorder="1" applyAlignment="1"/>
    <xf numFmtId="0" fontId="3" fillId="4" borderId="7" xfId="0" applyFont="1" applyFill="1" applyBorder="1" applyAlignment="1"/>
    <xf numFmtId="0" fontId="3" fillId="4" borderId="8" xfId="0" applyFont="1" applyFill="1" applyBorder="1" applyAlignment="1"/>
    <xf numFmtId="0" fontId="3" fillId="5" borderId="1" xfId="0" applyFont="1" applyFill="1" applyBorder="1" applyAlignment="1"/>
    <xf numFmtId="0" fontId="3" fillId="5" borderId="3" xfId="0" applyFont="1" applyFill="1" applyBorder="1" applyAlignment="1"/>
    <xf numFmtId="0" fontId="3" fillId="5" borderId="4" xfId="0" applyFont="1" applyFill="1" applyBorder="1" applyAlignment="1"/>
    <xf numFmtId="0" fontId="3" fillId="5" borderId="0" xfId="0" applyFont="1" applyFill="1" applyBorder="1" applyAlignment="1"/>
    <xf numFmtId="0" fontId="3" fillId="5" borderId="5" xfId="0" applyFont="1" applyFill="1" applyBorder="1" applyAlignment="1"/>
    <xf numFmtId="0" fontId="3" fillId="5" borderId="6" xfId="0" applyFont="1" applyFill="1" applyBorder="1" applyAlignment="1"/>
    <xf numFmtId="0" fontId="3" fillId="5" borderId="7" xfId="0" applyFont="1" applyFill="1" applyBorder="1" applyAlignment="1"/>
    <xf numFmtId="0" fontId="3" fillId="5" borderId="8" xfId="0" applyFont="1" applyFill="1" applyBorder="1" applyAlignment="1"/>
    <xf numFmtId="0" fontId="3" fillId="3" borderId="0" xfId="0" applyNumberFormat="1" applyFont="1" applyFill="1" applyBorder="1" applyAlignment="1"/>
    <xf numFmtId="0" fontId="3" fillId="3" borderId="7" xfId="0" applyNumberFormat="1" applyFont="1" applyFill="1" applyBorder="1" applyAlignment="1"/>
    <xf numFmtId="0" fontId="5" fillId="3" borderId="2" xfId="0" applyNumberFormat="1" applyFont="1" applyFill="1" applyBorder="1" applyAlignment="1">
      <alignment vertical="center"/>
    </xf>
    <xf numFmtId="0" fontId="5" fillId="4" borderId="2" xfId="0" applyFont="1" applyFill="1" applyBorder="1" applyAlignment="1">
      <alignment vertical="center"/>
    </xf>
    <xf numFmtId="0" fontId="5" fillId="5" borderId="2" xfId="0" applyFont="1" applyFill="1" applyBorder="1" applyAlignment="1"/>
    <xf numFmtId="0" fontId="6" fillId="3" borderId="0" xfId="0" applyNumberFormat="1" applyFont="1" applyFill="1" applyBorder="1" applyAlignment="1"/>
    <xf numFmtId="0" fontId="6" fillId="4" borderId="0" xfId="0" applyFont="1" applyFill="1" applyBorder="1" applyAlignment="1"/>
    <xf numFmtId="10" fontId="6" fillId="5" borderId="0" xfId="0" applyNumberFormat="1" applyFont="1" applyFill="1" applyBorder="1"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sales analysis 1.xlsx]Sheet3!PivotTable2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Jan</c:v>
                </c:pt>
                <c:pt idx="1">
                  <c:v>Feb</c:v>
                </c:pt>
                <c:pt idx="2">
                  <c:v>Mar</c:v>
                </c:pt>
              </c:strCache>
            </c:strRef>
          </c:cat>
          <c:val>
            <c:numRef>
              <c:f>Sheet3!$B$4:$B$7</c:f>
              <c:numCache>
                <c:formatCode>General</c:formatCode>
                <c:ptCount val="3"/>
                <c:pt idx="0">
                  <c:v>105000</c:v>
                </c:pt>
                <c:pt idx="1">
                  <c:v>95500</c:v>
                </c:pt>
                <c:pt idx="2">
                  <c:v>105000</c:v>
                </c:pt>
              </c:numCache>
            </c:numRef>
          </c:val>
          <c:smooth val="0"/>
          <c:extLst>
            <c:ext xmlns:c16="http://schemas.microsoft.com/office/drawing/2014/chart" uri="{C3380CC4-5D6E-409C-BE32-E72D297353CC}">
              <c16:uniqueId val="{00000000-0D20-4480-8D86-EFD6FC090C5A}"/>
            </c:ext>
          </c:extLst>
        </c:ser>
        <c:dLbls>
          <c:dLblPos val="t"/>
          <c:showLegendKey val="0"/>
          <c:showVal val="1"/>
          <c:showCatName val="0"/>
          <c:showSerName val="0"/>
          <c:showPercent val="0"/>
          <c:showBubbleSize val="0"/>
        </c:dLbls>
        <c:smooth val="0"/>
        <c:axId val="982252383"/>
        <c:axId val="982263423"/>
      </c:lineChart>
      <c:catAx>
        <c:axId val="98225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63423"/>
        <c:crosses val="autoZero"/>
        <c:auto val="1"/>
        <c:lblAlgn val="ctr"/>
        <c:lblOffset val="100"/>
        <c:noMultiLvlLbl val="0"/>
      </c:catAx>
      <c:valAx>
        <c:axId val="98226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5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sales analysis 1.xlsx]Sheet4!PivotTable3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a:t>
            </a:r>
            <a:r>
              <a:rPr lang="en-IN" baseline="0"/>
              <a:t> Sales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South</c:v>
                </c:pt>
                <c:pt idx="1">
                  <c:v>West</c:v>
                </c:pt>
                <c:pt idx="2">
                  <c:v>North</c:v>
                </c:pt>
                <c:pt idx="3">
                  <c:v>East</c:v>
                </c:pt>
              </c:strCache>
            </c:strRef>
          </c:cat>
          <c:val>
            <c:numRef>
              <c:f>Sheet4!$B$4:$B$8</c:f>
              <c:numCache>
                <c:formatCode>General</c:formatCode>
                <c:ptCount val="4"/>
                <c:pt idx="0">
                  <c:v>130000</c:v>
                </c:pt>
                <c:pt idx="1">
                  <c:v>70000</c:v>
                </c:pt>
                <c:pt idx="2">
                  <c:v>69500</c:v>
                </c:pt>
                <c:pt idx="3">
                  <c:v>36000</c:v>
                </c:pt>
              </c:numCache>
            </c:numRef>
          </c:val>
          <c:extLst>
            <c:ext xmlns:c16="http://schemas.microsoft.com/office/drawing/2014/chart" uri="{C3380CC4-5D6E-409C-BE32-E72D297353CC}">
              <c16:uniqueId val="{00000000-A83E-4877-9997-262A2258482B}"/>
            </c:ext>
          </c:extLst>
        </c:ser>
        <c:dLbls>
          <c:dLblPos val="outEnd"/>
          <c:showLegendKey val="0"/>
          <c:showVal val="1"/>
          <c:showCatName val="0"/>
          <c:showSerName val="0"/>
          <c:showPercent val="0"/>
          <c:showBubbleSize val="0"/>
        </c:dLbls>
        <c:gapWidth val="219"/>
        <c:overlap val="-27"/>
        <c:axId val="982282623"/>
        <c:axId val="982298463"/>
      </c:barChart>
      <c:catAx>
        <c:axId val="98228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98463"/>
        <c:crosses val="autoZero"/>
        <c:auto val="1"/>
        <c:lblAlgn val="ctr"/>
        <c:lblOffset val="100"/>
        <c:noMultiLvlLbl val="0"/>
      </c:catAx>
      <c:valAx>
        <c:axId val="98229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8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sales analysis 1.xlsx]Sheet6!PivotTable5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Sheet6!$A$4:$A$8</c:f>
              <c:strCache>
                <c:ptCount val="4"/>
                <c:pt idx="0">
                  <c:v>Laptop</c:v>
                </c:pt>
                <c:pt idx="1">
                  <c:v>Mobile</c:v>
                </c:pt>
                <c:pt idx="2">
                  <c:v>Table</c:v>
                </c:pt>
                <c:pt idx="3">
                  <c:v>Chair</c:v>
                </c:pt>
              </c:strCache>
            </c:strRef>
          </c:cat>
          <c:val>
            <c:numRef>
              <c:f>Sheet6!$B$4:$B$8</c:f>
              <c:numCache>
                <c:formatCode>General</c:formatCode>
                <c:ptCount val="4"/>
                <c:pt idx="0">
                  <c:v>25500</c:v>
                </c:pt>
                <c:pt idx="1">
                  <c:v>14500</c:v>
                </c:pt>
                <c:pt idx="2">
                  <c:v>4500</c:v>
                </c:pt>
                <c:pt idx="3">
                  <c:v>2700</c:v>
                </c:pt>
              </c:numCache>
            </c:numRef>
          </c:val>
          <c:extLst>
            <c:ext xmlns:c16="http://schemas.microsoft.com/office/drawing/2014/chart" uri="{C3380CC4-5D6E-409C-BE32-E72D297353CC}">
              <c16:uniqueId val="{00000000-F411-4491-8B23-48A974EA08B4}"/>
            </c:ext>
          </c:extLst>
        </c:ser>
        <c:dLbls>
          <c:showLegendKey val="0"/>
          <c:showVal val="0"/>
          <c:showCatName val="0"/>
          <c:showSerName val="0"/>
          <c:showPercent val="0"/>
          <c:showBubbleSize val="0"/>
        </c:dLbls>
        <c:gapWidth val="219"/>
        <c:overlap val="-27"/>
        <c:axId val="1150297583"/>
        <c:axId val="1150299983"/>
      </c:barChart>
      <c:catAx>
        <c:axId val="115029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299983"/>
        <c:crosses val="autoZero"/>
        <c:auto val="1"/>
        <c:lblAlgn val="ctr"/>
        <c:lblOffset val="100"/>
        <c:noMultiLvlLbl val="0"/>
      </c:catAx>
      <c:valAx>
        <c:axId val="1150299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29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sales analysis 1.xlsx]Sheet3!PivotTable2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Jan</c:v>
                </c:pt>
                <c:pt idx="1">
                  <c:v>Feb</c:v>
                </c:pt>
                <c:pt idx="2">
                  <c:v>Mar</c:v>
                </c:pt>
              </c:strCache>
            </c:strRef>
          </c:cat>
          <c:val>
            <c:numRef>
              <c:f>Sheet3!$B$4:$B$7</c:f>
              <c:numCache>
                <c:formatCode>General</c:formatCode>
                <c:ptCount val="3"/>
                <c:pt idx="0">
                  <c:v>105000</c:v>
                </c:pt>
                <c:pt idx="1">
                  <c:v>95500</c:v>
                </c:pt>
                <c:pt idx="2">
                  <c:v>105000</c:v>
                </c:pt>
              </c:numCache>
            </c:numRef>
          </c:val>
          <c:smooth val="0"/>
          <c:extLst>
            <c:ext xmlns:c16="http://schemas.microsoft.com/office/drawing/2014/chart" uri="{C3380CC4-5D6E-409C-BE32-E72D297353CC}">
              <c16:uniqueId val="{00000000-A82F-4DE9-A679-16B509656D6E}"/>
            </c:ext>
          </c:extLst>
        </c:ser>
        <c:dLbls>
          <c:dLblPos val="t"/>
          <c:showLegendKey val="0"/>
          <c:showVal val="1"/>
          <c:showCatName val="0"/>
          <c:showSerName val="0"/>
          <c:showPercent val="0"/>
          <c:showBubbleSize val="0"/>
        </c:dLbls>
        <c:smooth val="0"/>
        <c:axId val="982252383"/>
        <c:axId val="982263423"/>
      </c:lineChart>
      <c:catAx>
        <c:axId val="98225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63423"/>
        <c:crosses val="autoZero"/>
        <c:auto val="1"/>
        <c:lblAlgn val="ctr"/>
        <c:lblOffset val="100"/>
        <c:noMultiLvlLbl val="0"/>
      </c:catAx>
      <c:valAx>
        <c:axId val="982263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5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sales analysis 1.xlsx]Sheet6!PivotTable5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Sheet6!$A$4:$A$8</c:f>
              <c:strCache>
                <c:ptCount val="4"/>
                <c:pt idx="0">
                  <c:v>Laptop</c:v>
                </c:pt>
                <c:pt idx="1">
                  <c:v>Mobile</c:v>
                </c:pt>
                <c:pt idx="2">
                  <c:v>Table</c:v>
                </c:pt>
                <c:pt idx="3">
                  <c:v>Chair</c:v>
                </c:pt>
              </c:strCache>
            </c:strRef>
          </c:cat>
          <c:val>
            <c:numRef>
              <c:f>Sheet6!$B$4:$B$8</c:f>
              <c:numCache>
                <c:formatCode>General</c:formatCode>
                <c:ptCount val="4"/>
                <c:pt idx="0">
                  <c:v>25500</c:v>
                </c:pt>
                <c:pt idx="1">
                  <c:v>14500</c:v>
                </c:pt>
                <c:pt idx="2">
                  <c:v>4500</c:v>
                </c:pt>
                <c:pt idx="3">
                  <c:v>2700</c:v>
                </c:pt>
              </c:numCache>
            </c:numRef>
          </c:val>
          <c:extLst>
            <c:ext xmlns:c16="http://schemas.microsoft.com/office/drawing/2014/chart" uri="{C3380CC4-5D6E-409C-BE32-E72D297353CC}">
              <c16:uniqueId val="{00000000-967B-4F8C-821D-7052B4F04A78}"/>
            </c:ext>
          </c:extLst>
        </c:ser>
        <c:dLbls>
          <c:dLblPos val="outEnd"/>
          <c:showLegendKey val="0"/>
          <c:showVal val="1"/>
          <c:showCatName val="0"/>
          <c:showSerName val="0"/>
          <c:showPercent val="0"/>
          <c:showBubbleSize val="0"/>
        </c:dLbls>
        <c:gapWidth val="219"/>
        <c:overlap val="-27"/>
        <c:axId val="982299903"/>
        <c:axId val="982269663"/>
      </c:barChart>
      <c:catAx>
        <c:axId val="98229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69663"/>
        <c:crosses val="autoZero"/>
        <c:auto val="1"/>
        <c:lblAlgn val="ctr"/>
        <c:lblOffset val="100"/>
        <c:noMultiLvlLbl val="0"/>
      </c:catAx>
      <c:valAx>
        <c:axId val="98226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9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sales analysis 1.xlsx]Sheet5!PivotTable4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Sales</a:t>
            </a:r>
            <a:endParaRPr lang="en-US"/>
          </a:p>
        </c:rich>
      </c:tx>
      <c:layout>
        <c:manualLayout>
          <c:xMode val="edge"/>
          <c:yMode val="edge"/>
          <c:x val="0.2290380476219393"/>
          <c:y val="0.1594019497562804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Sheet5!$A$4:$A$8</c:f>
              <c:strCache>
                <c:ptCount val="4"/>
                <c:pt idx="0">
                  <c:v>Laptop</c:v>
                </c:pt>
                <c:pt idx="1">
                  <c:v>Mobile</c:v>
                </c:pt>
                <c:pt idx="2">
                  <c:v>Table</c:v>
                </c:pt>
                <c:pt idx="3">
                  <c:v>Chair</c:v>
                </c:pt>
              </c:strCache>
            </c:strRef>
          </c:cat>
          <c:val>
            <c:numRef>
              <c:f>Sheet5!$B$4:$B$8</c:f>
              <c:numCache>
                <c:formatCode>General</c:formatCode>
                <c:ptCount val="4"/>
                <c:pt idx="0">
                  <c:v>173000</c:v>
                </c:pt>
                <c:pt idx="1">
                  <c:v>90000</c:v>
                </c:pt>
                <c:pt idx="2">
                  <c:v>27000</c:v>
                </c:pt>
                <c:pt idx="3">
                  <c:v>15500</c:v>
                </c:pt>
              </c:numCache>
            </c:numRef>
          </c:val>
          <c:extLst>
            <c:ext xmlns:c16="http://schemas.microsoft.com/office/drawing/2014/chart" uri="{C3380CC4-5D6E-409C-BE32-E72D297353CC}">
              <c16:uniqueId val="{00000000-59CD-45FB-81ED-DA8C2EC89BB7}"/>
            </c:ext>
          </c:extLst>
        </c:ser>
        <c:dLbls>
          <c:dLblPos val="outEnd"/>
          <c:showLegendKey val="0"/>
          <c:showVal val="1"/>
          <c:showCatName val="0"/>
          <c:showSerName val="0"/>
          <c:showPercent val="0"/>
          <c:showBubbleSize val="0"/>
        </c:dLbls>
        <c:gapWidth val="219"/>
        <c:overlap val="-27"/>
        <c:axId val="982266783"/>
        <c:axId val="982278303"/>
      </c:barChart>
      <c:catAx>
        <c:axId val="98226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78303"/>
        <c:crosses val="autoZero"/>
        <c:auto val="1"/>
        <c:lblAlgn val="ctr"/>
        <c:lblOffset val="100"/>
        <c:noMultiLvlLbl val="0"/>
      </c:catAx>
      <c:valAx>
        <c:axId val="98227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6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 sales analysis 1.xlsx]Sheet4!PivotTable3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Region-wise</a:t>
            </a:r>
            <a:r>
              <a:rPr lang="en-IN" baseline="0"/>
              <a:t> Sales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South</c:v>
                </c:pt>
                <c:pt idx="1">
                  <c:v>West</c:v>
                </c:pt>
                <c:pt idx="2">
                  <c:v>North</c:v>
                </c:pt>
                <c:pt idx="3">
                  <c:v>East</c:v>
                </c:pt>
              </c:strCache>
            </c:strRef>
          </c:cat>
          <c:val>
            <c:numRef>
              <c:f>Sheet4!$B$4:$B$8</c:f>
              <c:numCache>
                <c:formatCode>General</c:formatCode>
                <c:ptCount val="4"/>
                <c:pt idx="0">
                  <c:v>130000</c:v>
                </c:pt>
                <c:pt idx="1">
                  <c:v>70000</c:v>
                </c:pt>
                <c:pt idx="2">
                  <c:v>69500</c:v>
                </c:pt>
                <c:pt idx="3">
                  <c:v>36000</c:v>
                </c:pt>
              </c:numCache>
            </c:numRef>
          </c:val>
          <c:extLst>
            <c:ext xmlns:c16="http://schemas.microsoft.com/office/drawing/2014/chart" uri="{C3380CC4-5D6E-409C-BE32-E72D297353CC}">
              <c16:uniqueId val="{00000000-A8E4-46AB-B47C-700EB4E7ADF6}"/>
            </c:ext>
          </c:extLst>
        </c:ser>
        <c:dLbls>
          <c:dLblPos val="outEnd"/>
          <c:showLegendKey val="0"/>
          <c:showVal val="1"/>
          <c:showCatName val="0"/>
          <c:showSerName val="0"/>
          <c:showPercent val="0"/>
          <c:showBubbleSize val="0"/>
        </c:dLbls>
        <c:gapWidth val="219"/>
        <c:overlap val="-27"/>
        <c:axId val="982282623"/>
        <c:axId val="982298463"/>
      </c:barChart>
      <c:catAx>
        <c:axId val="98228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98463"/>
        <c:crosses val="autoZero"/>
        <c:auto val="1"/>
        <c:lblAlgn val="ctr"/>
        <c:lblOffset val="100"/>
        <c:noMultiLvlLbl val="0"/>
      </c:catAx>
      <c:valAx>
        <c:axId val="982298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28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274326</xdr:colOff>
      <xdr:row>9</xdr:row>
      <xdr:rowOff>41910</xdr:rowOff>
    </xdr:from>
    <xdr:to>
      <xdr:col>13</xdr:col>
      <xdr:colOff>205746</xdr:colOff>
      <xdr:row>24</xdr:row>
      <xdr:rowOff>41910</xdr:rowOff>
    </xdr:to>
    <xdr:graphicFrame macro="">
      <xdr:nvGraphicFramePr>
        <xdr:cNvPr id="2" name="Chart 1">
          <a:extLst>
            <a:ext uri="{FF2B5EF4-FFF2-40B4-BE49-F238E27FC236}">
              <a16:creationId xmlns:a16="http://schemas.microsoft.com/office/drawing/2014/main" id="{0FF71A84-E72A-81C3-5D6A-91E047469E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60960</xdr:colOff>
      <xdr:row>6</xdr:row>
      <xdr:rowOff>41910</xdr:rowOff>
    </xdr:from>
    <xdr:to>
      <xdr:col>11</xdr:col>
      <xdr:colOff>365760</xdr:colOff>
      <xdr:row>21</xdr:row>
      <xdr:rowOff>41910</xdr:rowOff>
    </xdr:to>
    <xdr:graphicFrame macro="">
      <xdr:nvGraphicFramePr>
        <xdr:cNvPr id="2" name="Chart 1">
          <a:extLst>
            <a:ext uri="{FF2B5EF4-FFF2-40B4-BE49-F238E27FC236}">
              <a16:creationId xmlns:a16="http://schemas.microsoft.com/office/drawing/2014/main" id="{2C341824-D116-4C68-E93E-F8ED8C5B5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533400</xdr:colOff>
      <xdr:row>8</xdr:row>
      <xdr:rowOff>148590</xdr:rowOff>
    </xdr:from>
    <xdr:to>
      <xdr:col>11</xdr:col>
      <xdr:colOff>228600</xdr:colOff>
      <xdr:row>23</xdr:row>
      <xdr:rowOff>148590</xdr:rowOff>
    </xdr:to>
    <xdr:graphicFrame macro="">
      <xdr:nvGraphicFramePr>
        <xdr:cNvPr id="3" name="Chart 2">
          <a:extLst>
            <a:ext uri="{FF2B5EF4-FFF2-40B4-BE49-F238E27FC236}">
              <a16:creationId xmlns:a16="http://schemas.microsoft.com/office/drawing/2014/main" id="{EA4D20FF-53A9-542E-5A92-988DD6A76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15240</xdr:rowOff>
    </xdr:from>
    <xdr:to>
      <xdr:col>4</xdr:col>
      <xdr:colOff>624840</xdr:colOff>
      <xdr:row>16</xdr:row>
      <xdr:rowOff>167640</xdr:rowOff>
    </xdr:to>
    <xdr:graphicFrame macro="">
      <xdr:nvGraphicFramePr>
        <xdr:cNvPr id="3" name="Chart 2">
          <a:extLst>
            <a:ext uri="{FF2B5EF4-FFF2-40B4-BE49-F238E27FC236}">
              <a16:creationId xmlns:a16="http://schemas.microsoft.com/office/drawing/2014/main" id="{D8A1FC7D-2717-4F11-8D1D-A1C4FC0C1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632460</xdr:colOff>
      <xdr:row>16</xdr:row>
      <xdr:rowOff>175260</xdr:rowOff>
    </xdr:from>
    <xdr:to>
      <xdr:col>9</xdr:col>
      <xdr:colOff>7620</xdr:colOff>
      <xdr:row>28</xdr:row>
      <xdr:rowOff>121920</xdr:rowOff>
    </xdr:to>
    <xdr:graphicFrame macro="">
      <xdr:nvGraphicFramePr>
        <xdr:cNvPr id="4" name="Chart 1">
          <a:extLst>
            <a:ext uri="{FF2B5EF4-FFF2-40B4-BE49-F238E27FC236}">
              <a16:creationId xmlns:a16="http://schemas.microsoft.com/office/drawing/2014/main" id="{E1AF8489-26DA-F8EA-5E46-7C7A0C63E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4</xdr:col>
      <xdr:colOff>617220</xdr:colOff>
      <xdr:row>28</xdr:row>
      <xdr:rowOff>121920</xdr:rowOff>
    </xdr:to>
    <xdr:graphicFrame macro="">
      <xdr:nvGraphicFramePr>
        <xdr:cNvPr id="5" name="Chart 1">
          <a:extLst>
            <a:ext uri="{FF2B5EF4-FFF2-40B4-BE49-F238E27FC236}">
              <a16:creationId xmlns:a16="http://schemas.microsoft.com/office/drawing/2014/main" id="{0DF26F00-9471-3B0C-90E7-854149EB5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7620</xdr:colOff>
      <xdr:row>1</xdr:row>
      <xdr:rowOff>7621</xdr:rowOff>
    </xdr:from>
    <xdr:to>
      <xdr:col>14</xdr:col>
      <xdr:colOff>7620</xdr:colOff>
      <xdr:row>6</xdr:row>
      <xdr:rowOff>121921</xdr:rowOff>
    </xdr:to>
    <mc:AlternateContent xmlns:mc="http://schemas.openxmlformats.org/markup-compatibility/2006">
      <mc:Choice xmlns:a14="http://schemas.microsoft.com/office/drawing/2010/main" Requires="a14">
        <xdr:graphicFrame macro="">
          <xdr:nvGraphicFramePr>
            <xdr:cNvPr id="6" name="Months (Date)">
              <a:extLst>
                <a:ext uri="{FF2B5EF4-FFF2-40B4-BE49-F238E27FC236}">
                  <a16:creationId xmlns:a16="http://schemas.microsoft.com/office/drawing/2014/main" id="{323F758E-8C30-466F-9B51-E781C2A66A91}"/>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5890260" y="342901"/>
              <a:ext cx="303276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6</xdr:row>
      <xdr:rowOff>121921</xdr:rowOff>
    </xdr:from>
    <xdr:to>
      <xdr:col>13</xdr:col>
      <xdr:colOff>586740</xdr:colOff>
      <xdr:row>14</xdr:row>
      <xdr:rowOff>137160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716B930-D520-4518-AFF8-A5CF8249876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90260" y="1752601"/>
              <a:ext cx="3017520" cy="1478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14</xdr:row>
      <xdr:rowOff>137160</xdr:rowOff>
    </xdr:from>
    <xdr:to>
      <xdr:col>14</xdr:col>
      <xdr:colOff>7620</xdr:colOff>
      <xdr:row>20</xdr:row>
      <xdr:rowOff>22861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0964643C-4022-4ED4-849C-7BCC11FDF5D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897880" y="3230880"/>
              <a:ext cx="3025140" cy="982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xdr:colOff>
      <xdr:row>20</xdr:row>
      <xdr:rowOff>30480</xdr:rowOff>
    </xdr:from>
    <xdr:to>
      <xdr:col>13</xdr:col>
      <xdr:colOff>586740</xdr:colOff>
      <xdr:row>28</xdr:row>
      <xdr:rowOff>91440</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6F477A10-7BBB-4192-837F-978D7CB0B41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905500" y="4221480"/>
              <a:ext cx="300228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632460</xdr:colOff>
      <xdr:row>5</xdr:row>
      <xdr:rowOff>15240</xdr:rowOff>
    </xdr:from>
    <xdr:to>
      <xdr:col>9</xdr:col>
      <xdr:colOff>0</xdr:colOff>
      <xdr:row>16</xdr:row>
      <xdr:rowOff>175260</xdr:rowOff>
    </xdr:to>
    <xdr:graphicFrame macro="">
      <xdr:nvGraphicFramePr>
        <xdr:cNvPr id="10" name="Chart 9">
          <a:extLst>
            <a:ext uri="{FF2B5EF4-FFF2-40B4-BE49-F238E27FC236}">
              <a16:creationId xmlns:a16="http://schemas.microsoft.com/office/drawing/2014/main" id="{FAE0D821-FB30-4D6A-B182-55306FD4C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MINE GOGULAMANDA" refreshedDate="46080.865547800924" createdVersion="8" refreshedVersion="8" minRefreshableVersion="3" recordCount="10" xr:uid="{A6401E30-DE0F-45AC-864E-F789000FCCD0}">
  <cacheSource type="worksheet">
    <worksheetSource ref="A1:G11" sheet="Sheet1"/>
  </cacheSource>
  <cacheFields count="8">
    <cacheField name="OrderID" numFmtId="0">
      <sharedItems containsSemiMixedTypes="0" containsString="0" containsNumber="1" containsInteger="1" minValue="1001" maxValue="1010"/>
    </cacheField>
    <cacheField name="Date" numFmtId="14">
      <sharedItems containsSemiMixedTypes="0" containsNonDate="0" containsDate="1" containsString="0" minDate="2024-01-01T00:00:00" maxDate="2024-03-29T00:00:00" count="10">
        <d v="2024-01-01T00:00:00"/>
        <d v="2024-01-03T00:00:00"/>
        <d v="2024-01-05T00:00:00"/>
        <d v="2024-01-08T00:00:00"/>
        <d v="2024-02-10T00:00:00"/>
        <d v="2024-02-15T00:00:00"/>
        <d v="2024-02-18T00:00:00"/>
        <d v="2024-03-20T00:00:00"/>
        <d v="2024-03-25T00:00:00"/>
        <d v="2024-03-28T00:00:00"/>
      </sharedItems>
      <fieldGroup par="7"/>
    </cacheField>
    <cacheField name="Product" numFmtId="0">
      <sharedItems count="4">
        <s v="Laptop"/>
        <s v="Mobile"/>
        <s v="Chair"/>
        <s v="Table"/>
      </sharedItems>
    </cacheField>
    <cacheField name="Category" numFmtId="0">
      <sharedItems count="2">
        <s v="Electronics"/>
        <s v="Furniture"/>
      </sharedItems>
    </cacheField>
    <cacheField name="Region" numFmtId="0">
      <sharedItems count="4">
        <s v="South"/>
        <s v="North"/>
        <s v="East"/>
        <s v="West"/>
      </sharedItems>
    </cacheField>
    <cacheField name="Sales" numFmtId="0">
      <sharedItems containsSemiMixedTypes="0" containsString="0" containsNumber="1" containsInteger="1" minValue="7500" maxValue="60000" count="10">
        <n v="55000"/>
        <n v="30000"/>
        <n v="8000"/>
        <n v="12000"/>
        <n v="60000"/>
        <n v="28000"/>
        <n v="7500"/>
        <n v="58000"/>
        <n v="15000"/>
        <n v="32000"/>
      </sharedItems>
    </cacheField>
    <cacheField name="Profit" numFmtId="0">
      <sharedItems containsSemiMixedTypes="0" containsString="0" containsNumber="1" containsInteger="1" minValue="1200" maxValue="9000"/>
    </cacheField>
    <cacheField name="Months (Date)" numFmtId="0" databaseField="0">
      <fieldGroup base="1">
        <rangePr groupBy="months" startDate="2024-01-01T00:00:00" endDate="2024-03-29T00:00:00"/>
        <groupItems count="14">
          <s v="&lt;01-01-2024"/>
          <s v="Jan"/>
          <s v="Feb"/>
          <s v="Mar"/>
          <s v="Apr"/>
          <s v="May"/>
          <s v="Jun"/>
          <s v="Jul"/>
          <s v="Aug"/>
          <s v="Sep"/>
          <s v="Oct"/>
          <s v="Nov"/>
          <s v="Dec"/>
          <s v="&gt;29-03-2024"/>
        </groupItems>
      </fieldGroup>
    </cacheField>
  </cacheFields>
  <extLst>
    <ext xmlns:x14="http://schemas.microsoft.com/office/spreadsheetml/2009/9/main" uri="{725AE2AE-9491-48be-B2B4-4EB974FC3084}">
      <x14:pivotCacheDefinition pivotCacheId="1090507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x v="0"/>
    <x v="0"/>
    <x v="0"/>
    <x v="0"/>
    <n v="8000"/>
  </r>
  <r>
    <n v="1002"/>
    <x v="1"/>
    <x v="1"/>
    <x v="0"/>
    <x v="1"/>
    <x v="1"/>
    <n v="5000"/>
  </r>
  <r>
    <n v="1003"/>
    <x v="2"/>
    <x v="2"/>
    <x v="1"/>
    <x v="2"/>
    <x v="2"/>
    <n v="1500"/>
  </r>
  <r>
    <n v="1004"/>
    <x v="3"/>
    <x v="3"/>
    <x v="1"/>
    <x v="3"/>
    <x v="3"/>
    <n v="2000"/>
  </r>
  <r>
    <n v="1005"/>
    <x v="4"/>
    <x v="0"/>
    <x v="0"/>
    <x v="0"/>
    <x v="4"/>
    <n v="9000"/>
  </r>
  <r>
    <n v="1006"/>
    <x v="5"/>
    <x v="1"/>
    <x v="0"/>
    <x v="2"/>
    <x v="5"/>
    <n v="4000"/>
  </r>
  <r>
    <n v="1007"/>
    <x v="6"/>
    <x v="2"/>
    <x v="1"/>
    <x v="1"/>
    <x v="6"/>
    <n v="1200"/>
  </r>
  <r>
    <n v="1008"/>
    <x v="7"/>
    <x v="0"/>
    <x v="0"/>
    <x v="3"/>
    <x v="7"/>
    <n v="8500"/>
  </r>
  <r>
    <n v="1009"/>
    <x v="8"/>
    <x v="3"/>
    <x v="1"/>
    <x v="0"/>
    <x v="8"/>
    <n v="2500"/>
  </r>
  <r>
    <n v="1010"/>
    <x v="9"/>
    <x v="1"/>
    <x v="0"/>
    <x v="1"/>
    <x v="9"/>
    <n v="5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318320-7B46-4334-97F7-2ABD2CF9BBBE}"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8">
    <pivotField showAll="0"/>
    <pivotField numFmtId="14" showAll="0">
      <items count="11">
        <item x="0"/>
        <item x="1"/>
        <item x="2"/>
        <item x="3"/>
        <item x="4"/>
        <item x="5"/>
        <item x="6"/>
        <item x="7"/>
        <item x="8"/>
        <item x="9"/>
        <item t="default"/>
      </items>
    </pivotField>
    <pivotField showAll="0">
      <items count="5">
        <item x="2"/>
        <item x="0"/>
        <item x="1"/>
        <item x="3"/>
        <item t="default"/>
      </items>
    </pivotField>
    <pivotField showAll="0">
      <items count="3">
        <item x="0"/>
        <item x="1"/>
        <item t="default"/>
      </items>
    </pivotField>
    <pivotField showAll="0">
      <items count="5">
        <item x="2"/>
        <item x="1"/>
        <item x="0"/>
        <item x="3"/>
        <item t="default"/>
      </items>
    </pivotField>
    <pivotField dataField="1" showAll="0">
      <items count="11">
        <item x="6"/>
        <item x="2"/>
        <item x="3"/>
        <item x="8"/>
        <item x="5"/>
        <item x="1"/>
        <item x="9"/>
        <item x="0"/>
        <item x="7"/>
        <item x="4"/>
        <item t="default"/>
      </items>
    </pivotField>
    <pivotField showAll="0"/>
    <pivotField axis="axisRow" showAll="0">
      <items count="15">
        <item x="0"/>
        <item x="1"/>
        <item x="2"/>
        <item x="3"/>
        <item x="4"/>
        <item x="5"/>
        <item x="6"/>
        <item x="7"/>
        <item x="8"/>
        <item x="9"/>
        <item x="10"/>
        <item x="11"/>
        <item x="12"/>
        <item x="13"/>
        <item t="default"/>
      </items>
    </pivotField>
  </pivotFields>
  <rowFields count="1">
    <field x="7"/>
  </rowFields>
  <rowItems count="4">
    <i>
      <x v="1"/>
    </i>
    <i>
      <x v="2"/>
    </i>
    <i>
      <x v="3"/>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6CDCFA-7350-4B2F-89E4-3D96E552025E}"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8">
    <pivotField showAll="0"/>
    <pivotField numFmtId="14" showAll="0">
      <items count="11">
        <item x="0"/>
        <item x="1"/>
        <item x="2"/>
        <item x="3"/>
        <item x="4"/>
        <item x="5"/>
        <item x="6"/>
        <item x="7"/>
        <item x="8"/>
        <item x="9"/>
        <item t="default"/>
      </items>
    </pivotField>
    <pivotField showAll="0"/>
    <pivotField showAll="0"/>
    <pivotField axis="axisRow" showAll="0" sortType="descending">
      <items count="5">
        <item x="2"/>
        <item x="1"/>
        <item x="0"/>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4"/>
  </rowFields>
  <rowItems count="5">
    <i>
      <x v="2"/>
    </i>
    <i>
      <x v="3"/>
    </i>
    <i>
      <x v="1"/>
    </i>
    <i>
      <x/>
    </i>
    <i t="grand">
      <x/>
    </i>
  </rowItems>
  <colItems count="1">
    <i/>
  </colItems>
  <dataFields count="1">
    <dataField name="Sum of Sales"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7DE305-78B7-4D0B-8D12-573685C23EED}"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8">
    <pivotField showAll="0"/>
    <pivotField numFmtId="14" showAll="0">
      <items count="11">
        <item x="0"/>
        <item x="1"/>
        <item x="2"/>
        <item x="3"/>
        <item x="4"/>
        <item x="5"/>
        <item x="6"/>
        <item x="7"/>
        <item x="8"/>
        <item x="9"/>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2"/>
  </rowFields>
  <rowItems count="5">
    <i>
      <x v="1"/>
    </i>
    <i>
      <x v="2"/>
    </i>
    <i>
      <x v="3"/>
    </i>
    <i>
      <x/>
    </i>
    <i t="grand">
      <x/>
    </i>
  </rowItems>
  <colItems count="1">
    <i/>
  </colItems>
  <dataFields count="1">
    <dataField name="Sum of Sales" fld="5"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5F6CCE-51D1-413B-8A1C-96A66783E34D}"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8">
    <pivotField showAll="0"/>
    <pivotField numFmtId="14" showAll="0">
      <items count="11">
        <item x="0"/>
        <item x="1"/>
        <item x="2"/>
        <item x="3"/>
        <item x="4"/>
        <item x="5"/>
        <item x="6"/>
        <item x="7"/>
        <item x="8"/>
        <item x="9"/>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6"/>
        <item x="2"/>
        <item x="3"/>
        <item x="8"/>
        <item x="5"/>
        <item x="1"/>
        <item x="9"/>
        <item x="0"/>
        <item x="7"/>
        <item x="4"/>
        <item t="default"/>
      </items>
    </pivotField>
    <pivotField dataField="1" showAll="0"/>
    <pivotField showAll="0" defaultSubtotal="0">
      <items count="14">
        <item x="0"/>
        <item x="1"/>
        <item x="2"/>
        <item x="3"/>
        <item x="4"/>
        <item x="5"/>
        <item x="6"/>
        <item x="7"/>
        <item x="8"/>
        <item x="9"/>
        <item x="10"/>
        <item x="11"/>
        <item x="12"/>
        <item x="13"/>
      </items>
    </pivotField>
  </pivotFields>
  <rowFields count="1">
    <field x="2"/>
  </rowFields>
  <rowItems count="5">
    <i>
      <x v="1"/>
    </i>
    <i>
      <x v="2"/>
    </i>
    <i>
      <x v="3"/>
    </i>
    <i>
      <x/>
    </i>
    <i t="grand">
      <x/>
    </i>
  </rowItems>
  <colItems count="1">
    <i/>
  </colItems>
  <dataFields count="1">
    <dataField name="Sum of Profit" fld="6" baseField="0" baseItem="0"/>
  </dataFields>
  <chartFormats count="2">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36C4EC92-24D6-4BEB-B238-B51CB894733B}" sourceName="Months (Date)">
  <pivotTables>
    <pivotTable tabId="3" name="PivotTable2"/>
  </pivotTables>
  <data>
    <tabular pivotCacheId="1090507807">
      <items count="14">
        <i x="1" s="1"/>
        <i x="2" s="1"/>
        <i x="3" s="1"/>
        <i x="4" s="1" nd="1"/>
        <i x="5" s="1" nd="1"/>
        <i x="6" s="1" nd="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75A77B-77EB-4B9B-AA2E-3CF5FBB5E35C}" sourceName="Region">
  <pivotTables>
    <pivotTable tabId="3" name="PivotTable2"/>
  </pivotTables>
  <data>
    <tabular pivotCacheId="1090507807">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2BD713-28AF-4374-B8B9-F6675A21EF5F}" sourceName="Category">
  <pivotTables>
    <pivotTable tabId="3" name="PivotTable2"/>
  </pivotTables>
  <data>
    <tabular pivotCacheId="109050780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EB5684D-74DD-4974-821D-73C42AC2DB4A}" sourceName="Product">
  <pivotTables>
    <pivotTable tabId="3" name="PivotTable2"/>
  </pivotTables>
  <data>
    <tabular pivotCacheId="1090507807">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08531975-2A64-42C5-96EA-D2224F1A6035}" cache="Slicer_Months__Date" caption="Months (Date)" rowHeight="234950"/>
  <slicer name="Region" xr10:uid="{3C518574-CB5A-4B53-B1ED-D2A5178240D1}" cache="Slicer_Region" caption="Region" rowHeight="234950"/>
  <slicer name="Category" xr10:uid="{8B983A57-9949-4A89-9B3F-B7113519B706}" cache="Slicer_Category" caption="Category" rowHeight="234950"/>
  <slicer name="Product" xr10:uid="{00A226E6-D888-4C70-A4A9-4FE153A82785}"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C0A23-3716-491E-8F7E-C5797D975BF4}">
  <dimension ref="A3:B7"/>
  <sheetViews>
    <sheetView workbookViewId="0">
      <selection activeCell="P22" sqref="P22"/>
    </sheetView>
  </sheetViews>
  <sheetFormatPr defaultRowHeight="14.4" x14ac:dyDescent="0.3"/>
  <cols>
    <col min="1" max="1" width="12.5546875" bestFit="1" customWidth="1"/>
    <col min="2" max="2" width="11.6640625" bestFit="1" customWidth="1"/>
    <col min="3" max="3" width="5" bestFit="1" customWidth="1"/>
    <col min="4" max="11" width="6" bestFit="1" customWidth="1"/>
    <col min="12" max="12" width="10.77734375" bestFit="1" customWidth="1"/>
  </cols>
  <sheetData>
    <row r="3" spans="1:2" x14ac:dyDescent="0.3">
      <c r="A3" s="3" t="s">
        <v>21</v>
      </c>
      <c r="B3" t="s">
        <v>26</v>
      </c>
    </row>
    <row r="4" spans="1:2" x14ac:dyDescent="0.3">
      <c r="A4" s="4" t="s">
        <v>23</v>
      </c>
      <c r="B4" s="5">
        <v>105000</v>
      </c>
    </row>
    <row r="5" spans="1:2" x14ac:dyDescent="0.3">
      <c r="A5" s="4" t="s">
        <v>24</v>
      </c>
      <c r="B5" s="5">
        <v>95500</v>
      </c>
    </row>
    <row r="6" spans="1:2" x14ac:dyDescent="0.3">
      <c r="A6" s="4" t="s">
        <v>25</v>
      </c>
      <c r="B6" s="5">
        <v>105000</v>
      </c>
    </row>
    <row r="7" spans="1:2" x14ac:dyDescent="0.3">
      <c r="A7" s="4" t="s">
        <v>22</v>
      </c>
      <c r="B7" s="5">
        <v>305500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EEC81-F135-4B89-A5EF-C2F1539C2F22}">
  <dimension ref="A3:B8"/>
  <sheetViews>
    <sheetView workbookViewId="0">
      <selection activeCell="N10" sqref="N10"/>
    </sheetView>
  </sheetViews>
  <sheetFormatPr defaultRowHeight="14.4" x14ac:dyDescent="0.3"/>
  <cols>
    <col min="1" max="1" width="12.5546875" bestFit="1" customWidth="1"/>
    <col min="2" max="2" width="11.6640625" bestFit="1" customWidth="1"/>
  </cols>
  <sheetData>
    <row r="3" spans="1:2" x14ac:dyDescent="0.3">
      <c r="A3" s="3" t="s">
        <v>21</v>
      </c>
      <c r="B3" t="s">
        <v>26</v>
      </c>
    </row>
    <row r="4" spans="1:2" x14ac:dyDescent="0.3">
      <c r="A4" s="4" t="s">
        <v>9</v>
      </c>
      <c r="B4" s="5">
        <v>130000</v>
      </c>
    </row>
    <row r="5" spans="1:2" x14ac:dyDescent="0.3">
      <c r="A5" s="4" t="s">
        <v>16</v>
      </c>
      <c r="B5" s="5">
        <v>70000</v>
      </c>
    </row>
    <row r="6" spans="1:2" x14ac:dyDescent="0.3">
      <c r="A6" s="4" t="s">
        <v>11</v>
      </c>
      <c r="B6" s="5">
        <v>69500</v>
      </c>
    </row>
    <row r="7" spans="1:2" x14ac:dyDescent="0.3">
      <c r="A7" s="4" t="s">
        <v>14</v>
      </c>
      <c r="B7" s="5">
        <v>36000</v>
      </c>
    </row>
    <row r="8" spans="1:2" x14ac:dyDescent="0.3">
      <c r="A8" s="4" t="s">
        <v>22</v>
      </c>
      <c r="B8" s="5">
        <v>305500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7684F-685D-4956-B392-5BCAF03B3EC5}">
  <dimension ref="A3:B8"/>
  <sheetViews>
    <sheetView workbookViewId="0">
      <selection activeCell="B6" sqref="B6"/>
    </sheetView>
  </sheetViews>
  <sheetFormatPr defaultRowHeight="14.4" x14ac:dyDescent="0.3"/>
  <cols>
    <col min="1" max="1" width="12.5546875" bestFit="1" customWidth="1"/>
    <col min="2" max="2" width="11.6640625" bestFit="1" customWidth="1"/>
  </cols>
  <sheetData>
    <row r="3" spans="1:2" x14ac:dyDescent="0.3">
      <c r="A3" s="3" t="s">
        <v>21</v>
      </c>
      <c r="B3" t="s">
        <v>26</v>
      </c>
    </row>
    <row r="4" spans="1:2" x14ac:dyDescent="0.3">
      <c r="A4" s="4" t="s">
        <v>7</v>
      </c>
      <c r="B4" s="5">
        <v>173000</v>
      </c>
    </row>
    <row r="5" spans="1:2" x14ac:dyDescent="0.3">
      <c r="A5" s="4" t="s">
        <v>10</v>
      </c>
      <c r="B5" s="5">
        <v>90000</v>
      </c>
    </row>
    <row r="6" spans="1:2" x14ac:dyDescent="0.3">
      <c r="A6" s="4" t="s">
        <v>15</v>
      </c>
      <c r="B6" s="5">
        <v>27000</v>
      </c>
    </row>
    <row r="7" spans="1:2" x14ac:dyDescent="0.3">
      <c r="A7" s="4" t="s">
        <v>12</v>
      </c>
      <c r="B7" s="5">
        <v>15500</v>
      </c>
    </row>
    <row r="8" spans="1:2" x14ac:dyDescent="0.3">
      <c r="A8" s="4" t="s">
        <v>22</v>
      </c>
      <c r="B8" s="5">
        <v>305500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9A0A0-845D-40C3-95F8-61AECD8FF507}">
  <dimension ref="A3:B8"/>
  <sheetViews>
    <sheetView workbookViewId="0">
      <selection activeCell="B4" sqref="B4"/>
    </sheetView>
  </sheetViews>
  <sheetFormatPr defaultRowHeight="14.4" x14ac:dyDescent="0.3"/>
  <cols>
    <col min="1" max="1" width="12.5546875" bestFit="1" customWidth="1"/>
    <col min="2" max="2" width="12.109375" bestFit="1" customWidth="1"/>
    <col min="3" max="3" width="13.21875" bestFit="1" customWidth="1"/>
  </cols>
  <sheetData>
    <row r="3" spans="1:2" x14ac:dyDescent="0.3">
      <c r="A3" s="3" t="s">
        <v>21</v>
      </c>
      <c r="B3" t="s">
        <v>27</v>
      </c>
    </row>
    <row r="4" spans="1:2" x14ac:dyDescent="0.3">
      <c r="A4" s="4" t="s">
        <v>7</v>
      </c>
      <c r="B4" s="5">
        <v>25500</v>
      </c>
    </row>
    <row r="5" spans="1:2" x14ac:dyDescent="0.3">
      <c r="A5" s="4" t="s">
        <v>10</v>
      </c>
      <c r="B5" s="5">
        <v>14500</v>
      </c>
    </row>
    <row r="6" spans="1:2" x14ac:dyDescent="0.3">
      <c r="A6" s="4" t="s">
        <v>15</v>
      </c>
      <c r="B6" s="5">
        <v>4500</v>
      </c>
    </row>
    <row r="7" spans="1:2" x14ac:dyDescent="0.3">
      <c r="A7" s="4" t="s">
        <v>12</v>
      </c>
      <c r="B7" s="5">
        <v>2700</v>
      </c>
    </row>
    <row r="8" spans="1:2" x14ac:dyDescent="0.3">
      <c r="A8" s="4" t="s">
        <v>22</v>
      </c>
      <c r="B8" s="5">
        <v>47200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1514-7E92-422C-8BAE-E151404F5836}">
  <dimension ref="A1:J14"/>
  <sheetViews>
    <sheetView workbookViewId="0">
      <selection activeCell="J16" sqref="J16"/>
    </sheetView>
  </sheetViews>
  <sheetFormatPr defaultRowHeight="14.4" x14ac:dyDescent="0.3"/>
  <cols>
    <col min="2" max="2" width="14.21875" bestFit="1" customWidth="1"/>
    <col min="9" max="9" width="14.5546875" customWidth="1"/>
  </cols>
  <sheetData>
    <row r="1" spans="1:10" x14ac:dyDescent="0.3">
      <c r="A1" t="s">
        <v>0</v>
      </c>
      <c r="B1" t="s">
        <v>1</v>
      </c>
      <c r="C1" t="s">
        <v>2</v>
      </c>
      <c r="D1" t="s">
        <v>3</v>
      </c>
      <c r="E1" t="s">
        <v>4</v>
      </c>
      <c r="F1" t="s">
        <v>5</v>
      </c>
      <c r="G1" t="s">
        <v>6</v>
      </c>
      <c r="I1" t="s">
        <v>17</v>
      </c>
    </row>
    <row r="2" spans="1:10" x14ac:dyDescent="0.3">
      <c r="A2">
        <v>1001</v>
      </c>
      <c r="B2" s="1">
        <v>45292</v>
      </c>
      <c r="C2" t="s">
        <v>7</v>
      </c>
      <c r="D2" t="s">
        <v>8</v>
      </c>
      <c r="E2" t="s">
        <v>9</v>
      </c>
      <c r="F2">
        <v>55000</v>
      </c>
      <c r="G2">
        <v>8000</v>
      </c>
      <c r="I2" t="s">
        <v>18</v>
      </c>
      <c r="J2">
        <f>SUM(F2:F11)</f>
        <v>305500</v>
      </c>
    </row>
    <row r="3" spans="1:10" x14ac:dyDescent="0.3">
      <c r="A3">
        <v>1002</v>
      </c>
      <c r="B3" s="1">
        <v>45294</v>
      </c>
      <c r="C3" t="s">
        <v>10</v>
      </c>
      <c r="D3" t="s">
        <v>8</v>
      </c>
      <c r="E3" t="s">
        <v>11</v>
      </c>
      <c r="F3">
        <v>30000</v>
      </c>
      <c r="G3">
        <v>5000</v>
      </c>
      <c r="I3" t="s">
        <v>19</v>
      </c>
      <c r="J3">
        <f>SUM(G2:G11)</f>
        <v>47200</v>
      </c>
    </row>
    <row r="4" spans="1:10" x14ac:dyDescent="0.3">
      <c r="A4">
        <v>1003</v>
      </c>
      <c r="B4" s="1">
        <v>45296</v>
      </c>
      <c r="C4" t="s">
        <v>12</v>
      </c>
      <c r="D4" t="s">
        <v>13</v>
      </c>
      <c r="E4" t="s">
        <v>14</v>
      </c>
      <c r="F4">
        <v>8000</v>
      </c>
      <c r="G4">
        <v>1500</v>
      </c>
      <c r="I4" t="s">
        <v>20</v>
      </c>
      <c r="J4" s="2">
        <f>J3/J2</f>
        <v>0.15450081833060555</v>
      </c>
    </row>
    <row r="5" spans="1:10" x14ac:dyDescent="0.3">
      <c r="A5">
        <v>1004</v>
      </c>
      <c r="B5" s="1">
        <v>45299</v>
      </c>
      <c r="C5" t="s">
        <v>15</v>
      </c>
      <c r="D5" t="s">
        <v>13</v>
      </c>
      <c r="E5" t="s">
        <v>16</v>
      </c>
      <c r="F5">
        <v>12000</v>
      </c>
      <c r="G5">
        <v>2000</v>
      </c>
    </row>
    <row r="6" spans="1:10" x14ac:dyDescent="0.3">
      <c r="A6">
        <v>1005</v>
      </c>
      <c r="B6" s="1">
        <v>45332</v>
      </c>
      <c r="C6" t="s">
        <v>7</v>
      </c>
      <c r="D6" t="s">
        <v>8</v>
      </c>
      <c r="E6" t="s">
        <v>9</v>
      </c>
      <c r="F6">
        <v>60000</v>
      </c>
      <c r="G6">
        <v>9000</v>
      </c>
    </row>
    <row r="7" spans="1:10" x14ac:dyDescent="0.3">
      <c r="A7">
        <v>1006</v>
      </c>
      <c r="B7" s="1">
        <v>45337</v>
      </c>
      <c r="C7" t="s">
        <v>10</v>
      </c>
      <c r="D7" t="s">
        <v>8</v>
      </c>
      <c r="E7" t="s">
        <v>14</v>
      </c>
      <c r="F7">
        <v>28000</v>
      </c>
      <c r="G7">
        <v>4000</v>
      </c>
    </row>
    <row r="8" spans="1:10" x14ac:dyDescent="0.3">
      <c r="A8">
        <v>1007</v>
      </c>
      <c r="B8" s="1">
        <v>45340</v>
      </c>
      <c r="C8" t="s">
        <v>12</v>
      </c>
      <c r="D8" t="s">
        <v>13</v>
      </c>
      <c r="E8" t="s">
        <v>11</v>
      </c>
      <c r="F8">
        <v>7500</v>
      </c>
      <c r="G8">
        <v>1200</v>
      </c>
    </row>
    <row r="9" spans="1:10" x14ac:dyDescent="0.3">
      <c r="A9">
        <v>1008</v>
      </c>
      <c r="B9" s="1">
        <v>45371</v>
      </c>
      <c r="C9" t="s">
        <v>7</v>
      </c>
      <c r="D9" t="s">
        <v>8</v>
      </c>
      <c r="E9" t="s">
        <v>16</v>
      </c>
      <c r="F9">
        <v>58000</v>
      </c>
      <c r="G9">
        <v>8500</v>
      </c>
    </row>
    <row r="10" spans="1:10" x14ac:dyDescent="0.3">
      <c r="A10">
        <v>1009</v>
      </c>
      <c r="B10" s="1">
        <v>45376</v>
      </c>
      <c r="C10" t="s">
        <v>15</v>
      </c>
      <c r="D10" t="s">
        <v>13</v>
      </c>
      <c r="E10" t="s">
        <v>9</v>
      </c>
      <c r="F10">
        <v>15000</v>
      </c>
      <c r="G10">
        <v>2500</v>
      </c>
    </row>
    <row r="11" spans="1:10" x14ac:dyDescent="0.3">
      <c r="A11">
        <v>1010</v>
      </c>
      <c r="B11" s="1">
        <v>45379</v>
      </c>
      <c r="C11" t="s">
        <v>10</v>
      </c>
      <c r="D11" t="s">
        <v>8</v>
      </c>
      <c r="E11" t="s">
        <v>11</v>
      </c>
      <c r="F11">
        <v>32000</v>
      </c>
      <c r="G11">
        <v>5500</v>
      </c>
    </row>
    <row r="14" spans="1:10" x14ac:dyDescent="0.3">
      <c r="J14"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1B5A2-87F0-4E40-8F0F-EF2860404525}">
  <sheetPr>
    <pageSetUpPr fitToPage="1"/>
  </sheetPr>
  <dimension ref="A1:N5"/>
  <sheetViews>
    <sheetView showGridLines="0" tabSelected="1" zoomScaleNormal="100" workbookViewId="0">
      <selection activeCell="S21" sqref="S21"/>
    </sheetView>
  </sheetViews>
  <sheetFormatPr defaultRowHeight="14.4" x14ac:dyDescent="0.3"/>
  <cols>
    <col min="1" max="1" width="8.21875" customWidth="1"/>
    <col min="2" max="2" width="12.21875" style="5" customWidth="1"/>
    <col min="3" max="3" width="7.88671875" customWidth="1"/>
    <col min="4" max="4" width="7.21875" customWidth="1"/>
    <col min="5" max="5" width="9.5546875" bestFit="1" customWidth="1"/>
    <col min="6" max="6" width="9.5546875" customWidth="1"/>
    <col min="7" max="7" width="7.6640625" customWidth="1"/>
    <col min="8" max="8" width="13" customWidth="1"/>
    <col min="9" max="9" width="10.44140625" customWidth="1"/>
    <col min="14" max="14" width="8.6640625" customWidth="1"/>
  </cols>
  <sheetData>
    <row r="1" spans="1:14" ht="26.4" thickBot="1" x14ac:dyDescent="0.55000000000000004">
      <c r="A1" s="6" t="s">
        <v>28</v>
      </c>
      <c r="B1" s="7"/>
      <c r="C1" s="7"/>
      <c r="D1" s="7"/>
      <c r="E1" s="7"/>
      <c r="F1" s="7"/>
      <c r="G1" s="7"/>
      <c r="H1" s="7"/>
      <c r="I1" s="7"/>
      <c r="J1" s="7"/>
      <c r="K1" s="7"/>
      <c r="L1" s="7"/>
      <c r="M1" s="7"/>
      <c r="N1" s="7"/>
    </row>
    <row r="2" spans="1:14" ht="23.4" x14ac:dyDescent="0.45">
      <c r="A2" s="8"/>
      <c r="B2" s="32" t="s">
        <v>18</v>
      </c>
      <c r="C2" s="9"/>
      <c r="D2" s="14"/>
      <c r="E2" s="33" t="s">
        <v>19</v>
      </c>
      <c r="F2" s="15"/>
      <c r="G2" s="22"/>
      <c r="H2" s="34" t="s">
        <v>20</v>
      </c>
      <c r="I2" s="23"/>
    </row>
    <row r="3" spans="1:14" ht="23.4" x14ac:dyDescent="0.45">
      <c r="A3" s="10"/>
      <c r="B3" s="30"/>
      <c r="C3" s="11"/>
      <c r="D3" s="16"/>
      <c r="E3" s="17"/>
      <c r="F3" s="18"/>
      <c r="G3" s="24"/>
      <c r="H3" s="25"/>
      <c r="I3" s="26"/>
    </row>
    <row r="4" spans="1:14" ht="23.4" x14ac:dyDescent="0.45">
      <c r="A4" s="10"/>
      <c r="B4" s="35">
        <f>GETPIVOTDATA("Sales",Sheet3!$A$3)</f>
        <v>305500</v>
      </c>
      <c r="C4" s="11"/>
      <c r="D4" s="16"/>
      <c r="E4" s="36">
        <f>GETPIVOTDATA("Profit",Sheet6!$A$3)</f>
        <v>47200</v>
      </c>
      <c r="F4" s="18"/>
      <c r="G4" s="24"/>
      <c r="H4" s="37">
        <f>B4/E4</f>
        <v>6.4724576271186445</v>
      </c>
      <c r="I4" s="26"/>
    </row>
    <row r="5" spans="1:14" ht="17.399999999999999" customHeight="1" thickBot="1" x14ac:dyDescent="0.5">
      <c r="A5" s="12"/>
      <c r="B5" s="31"/>
      <c r="C5" s="13"/>
      <c r="D5" s="19"/>
      <c r="E5" s="20"/>
      <c r="F5" s="21"/>
      <c r="G5" s="27"/>
      <c r="H5" s="28"/>
      <c r="I5" s="29"/>
    </row>
  </sheetData>
  <mergeCells count="1">
    <mergeCell ref="A1:N1"/>
  </mergeCells>
  <pageMargins left="0.7" right="0.7" top="0.75" bottom="0.75" header="0.3" footer="0.3"/>
  <pageSetup scale="6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Sheet3</vt:lpstr>
      <vt:lpstr>Sheet4</vt:lpstr>
      <vt:lpstr>Sheet5</vt:lpstr>
      <vt:lpstr>Sheet6</vt:lpstr>
      <vt:lpstr>Sheet1</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JASMINE GOGULAMANDA</dc:creator>
  <cp:lastModifiedBy>JASMINE GOGULAMANDA</cp:lastModifiedBy>
  <cp:lastPrinted>2026-02-27T18:52:05Z</cp:lastPrinted>
  <dcterms:created xsi:type="dcterms:W3CDTF">2026-02-27T14:07:45Z</dcterms:created>
  <dcterms:modified xsi:type="dcterms:W3CDTF">2026-02-27T18:53:27Z</dcterms:modified>
</cp:coreProperties>
</file>